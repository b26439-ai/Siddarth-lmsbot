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ddarth\Downloads\projectx_lms\"/>
    </mc:Choice>
  </mc:AlternateContent>
  <xr:revisionPtr revIDLastSave="0" documentId="13_ncr:1_{31C07D52-B6EA-4965-9B71-1FC86FD5276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0" i="1" l="1"/>
  <c r="F31" i="1" s="1"/>
  <c r="F33" i="1" s="1"/>
</calcChain>
</file>

<file path=xl/sharedStrings.xml><?xml version="1.0" encoding="utf-8"?>
<sst xmlns="http://schemas.openxmlformats.org/spreadsheetml/2006/main" count="106" uniqueCount="61">
  <si>
    <t>Prices in Rs, including GST, read on supplier pages on the date shown. Blue cells are inputs. Final version: QTRX sensor, no dividers, no mux, spare driver kept.</t>
  </si>
  <si>
    <t>#</t>
  </si>
  <si>
    <t>Controller</t>
  </si>
  <si>
    <t>ESP32-WROOM-32 38-pin DevKit</t>
  </si>
  <si>
    <t>Robu (21 Oct)</t>
  </si>
  <si>
    <t>Open</t>
  </si>
  <si>
    <t>Motors</t>
  </si>
  <si>
    <t>N20 6 V 300 RPM micro metal gear motor (no encoder)</t>
  </si>
  <si>
    <t>N20 plastic motor mount (black)</t>
  </si>
  <si>
    <t>Probots (25 Oct)</t>
  </si>
  <si>
    <t>Wheels</t>
  </si>
  <si>
    <t>3pi / MiniQ 42 mm wheel for N20 (18 mm tyre)</t>
  </si>
  <si>
    <t>Ball castor wheel</t>
  </si>
  <si>
    <t>Driver</t>
  </si>
  <si>
    <t>TB6612FNG dual motor driver module</t>
  </si>
  <si>
    <t>Robokits (21 Oct)</t>
  </si>
  <si>
    <t>Sensors</t>
  </si>
  <si>
    <t>Pololu QTRX-MD-08RC reflectance array (8-ch, 8 mm pitch, RC output)</t>
  </si>
  <si>
    <t>MG Super Labs (25 Oct, backorder 2-3 wk)</t>
  </si>
  <si>
    <t>Power</t>
  </si>
  <si>
    <t>Pro-Range 7.4 V 1000 mAh 30C 2S LiPo</t>
  </si>
  <si>
    <t>iMax B3 AC 2S-3S balance charger</t>
  </si>
  <si>
    <t>Makerbazar (21 Oct)</t>
  </si>
  <si>
    <t>LiPo fire-safe bag</t>
  </si>
  <si>
    <t>Local (estimate)</t>
  </si>
  <si>
    <t>-</t>
  </si>
  <si>
    <t>MP1584 3 A adjustable buck module</t>
  </si>
  <si>
    <t>470 uF 50 V electrolytic capacitor</t>
  </si>
  <si>
    <t>XT60 connector pair</t>
  </si>
  <si>
    <t>KCD11 mini rocker switch, SPST</t>
  </si>
  <si>
    <t>3 A glass fuse, 5 x 20 mm</t>
  </si>
  <si>
    <t>5 x 20 mm PCB fuse holder</t>
  </si>
  <si>
    <t>Probots (25 Oct, out of stock)</t>
  </si>
  <si>
    <t>Control</t>
  </si>
  <si>
    <t>Tactile push button 6 x 6 x 10 mm (pack)</t>
  </si>
  <si>
    <t>Zbotic (25 Oct)</t>
  </si>
  <si>
    <t>5 mm red LED, diffused</t>
  </si>
  <si>
    <t>Misc</t>
  </si>
  <si>
    <t>Resistors: 330 ohm (LED) + 10 k (button pull-up)</t>
  </si>
  <si>
    <t>Chassis</t>
  </si>
  <si>
    <t>3 mm acrylic plate, ~130 x 150 mm</t>
  </si>
  <si>
    <t>Wire, headers, perfboard, M3 standoffs, screws, heat-shrink</t>
  </si>
  <si>
    <t>Shipping</t>
  </si>
  <si>
    <t>About 5 orders (Robu, Probots, Robokits, MG Super Labs, Makerbazar)</t>
  </si>
  <si>
    <t>Estimate</t>
  </si>
  <si>
    <t>Subtotal</t>
  </si>
  <si>
    <t>Contingency rate</t>
  </si>
  <si>
    <t>15% covers price changes and a broken part</t>
  </si>
  <si>
    <t>Contingency</t>
  </si>
  <si>
    <t>Grand total</t>
  </si>
  <si>
    <t>Budget limit</t>
  </si>
  <si>
    <t>Task limit</t>
  </si>
  <si>
    <t>Remaining</t>
  </si>
  <si>
    <t>Task 4 - Bill of Materials: LMS robot (2WD)</t>
  </si>
  <si>
    <t>CATEGORY</t>
  </si>
  <si>
    <t>COMPONENT</t>
  </si>
  <si>
    <t>OTY</t>
  </si>
  <si>
    <t>UNIT PRICE</t>
  </si>
  <si>
    <t>TOTAL PRICE</t>
  </si>
  <si>
    <t>LINK</t>
  </si>
  <si>
    <t>SUPPLIER(DATE)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</si>
</sst>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555555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u/>
      <sz val="11"/>
      <color rgb="FF0563C1"/>
      <name val="Arial"/>
      <charset val="1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DCE6F1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1" xfId="0" applyFont="1" applyFill="1" applyBorder="1"/>
    <xf numFmtId="3" fontId="3" fillId="2" borderId="1" xfId="0" applyNumberFormat="1" applyFont="1" applyFill="1" applyBorder="1"/>
    <xf numFmtId="9" fontId="5" fillId="2" borderId="1" xfId="0" applyNumberFormat="1" applyFont="1" applyFill="1" applyBorder="1"/>
    <xf numFmtId="3" fontId="5" fillId="2" borderId="1" xfId="0" applyNumberFormat="1" applyFont="1" applyFill="1" applyBorder="1"/>
    <xf numFmtId="0" fontId="3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-category/2-cell-lipo-7-4v-8-4v/" TargetMode="External"/><Relationship Id="rId13" Type="http://schemas.openxmlformats.org/officeDocument/2006/relationships/hyperlink" Target="https://probots.co.in/rocker-switch-mini-on-off-spst-2-pin-kcd11.html" TargetMode="External"/><Relationship Id="rId18" Type="http://schemas.openxmlformats.org/officeDocument/2006/relationships/hyperlink" Target="https://aws.robu.in/product-category/batteries/wires-and-cables/silicone-wires/18-to-22-awg" TargetMode="External"/><Relationship Id="rId3" Type="http://schemas.openxmlformats.org/officeDocument/2006/relationships/hyperlink" Target="https://probots.co.in/black-n20-plastic-motor-fixed-seat.html" TargetMode="External"/><Relationship Id="rId7" Type="http://schemas.openxmlformats.org/officeDocument/2006/relationships/hyperlink" Target="https://www.mgsuperlabs.co.in/estore/QTRX-MD-08RC-Reflectance-Sensor-Array-8-Channel-8mm-Pitch-RC-Output-Low-Current" TargetMode="External"/><Relationship Id="rId12" Type="http://schemas.openxmlformats.org/officeDocument/2006/relationships/hyperlink" Target="https://probots.co.in/xt60-connector-male-and-female-for-rc-lipo-battery.html" TargetMode="External"/><Relationship Id="rId17" Type="http://schemas.openxmlformats.org/officeDocument/2006/relationships/hyperlink" Target="https://probots.co.in/5mm-red-led-diffused.html" TargetMode="External"/><Relationship Id="rId2" Type="http://schemas.openxmlformats.org/officeDocument/2006/relationships/hyperlink" Target="https://robu.in/product/n20-6v-300-rpm-micro-metal-gear-motor/" TargetMode="External"/><Relationship Id="rId16" Type="http://schemas.openxmlformats.org/officeDocument/2006/relationships/hyperlink" Target="https://zbotic.in/?p=457730" TargetMode="External"/><Relationship Id="rId1" Type="http://schemas.openxmlformats.org/officeDocument/2006/relationships/hyperlink" Target="https://robu.in/product/esp32-38pin-development-board-wifibluetooth-ultra-low-power-consumption-dual-core/" TargetMode="External"/><Relationship Id="rId6" Type="http://schemas.openxmlformats.org/officeDocument/2006/relationships/hyperlink" Target="https://robokits.co.in/motor-drives-drivers/dc-motor-driver/tb6612fng-ultra-small-dual-dc-motor-driver-module" TargetMode="External"/><Relationship Id="rId11" Type="http://schemas.openxmlformats.org/officeDocument/2006/relationships/hyperlink" Target="https://probots.co.in/470uf-50v-electrolytic-capacitor.html" TargetMode="External"/><Relationship Id="rId5" Type="http://schemas.openxmlformats.org/officeDocument/2006/relationships/hyperlink" Target="https://probots.co.in/castor-wheel.html" TargetMode="External"/><Relationship Id="rId15" Type="http://schemas.openxmlformats.org/officeDocument/2006/relationships/hyperlink" Target="https://probots.co.in/fuse-holder-with-transparent-cover-for-5x20mm-fuses-pcb-mount.html" TargetMode="External"/><Relationship Id="rId10" Type="http://schemas.openxmlformats.org/officeDocument/2006/relationships/hyperlink" Target="https://probots.co.in/mp1584-dc-dc-step-down-3a-adjustable-buck-module.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probots.co.in/3pi-miniq-car-wheel-tyre-42mm-for-n20-motor.html" TargetMode="External"/><Relationship Id="rId9" Type="http://schemas.openxmlformats.org/officeDocument/2006/relationships/hyperlink" Target="https://makerbazar.in/products/imax-b3-ac-compact-balance-charger-for-2s-3s-lipo" TargetMode="External"/><Relationship Id="rId14" Type="http://schemas.openxmlformats.org/officeDocument/2006/relationships/hyperlink" Target="https://probots.co.in/3a-250vac-fuse-glass-tube-5x20m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Normal="100" workbookViewId="0">
      <pane ySplit="4" topLeftCell="A5" activePane="bottomLeft" state="frozen"/>
      <selection pane="bottomLeft" activeCell="G4" sqref="G4"/>
    </sheetView>
  </sheetViews>
  <sheetFormatPr defaultColWidth="8.6328125" defaultRowHeight="14.5" x14ac:dyDescent="0.35"/>
  <cols>
    <col min="1" max="1" width="4" customWidth="1"/>
    <col min="2" max="2" width="11" customWidth="1"/>
    <col min="3" max="3" width="44" customWidth="1"/>
    <col min="4" max="4" width="6" customWidth="1"/>
    <col min="5" max="5" width="13" customWidth="1"/>
    <col min="6" max="6" width="12" customWidth="1"/>
    <col min="7" max="7" width="24" customWidth="1"/>
    <col min="8" max="8" width="8" customWidth="1"/>
    <col min="9" max="9" width="58" customWidth="1"/>
  </cols>
  <sheetData>
    <row r="1" spans="1:9" ht="18" x14ac:dyDescent="0.4">
      <c r="A1" s="1" t="s">
        <v>53</v>
      </c>
    </row>
    <row r="2" spans="1:9" x14ac:dyDescent="0.35">
      <c r="A2" s="2" t="s">
        <v>0</v>
      </c>
    </row>
    <row r="4" spans="1:9" ht="28" x14ac:dyDescent="0.35">
      <c r="A4" s="12" t="s">
        <v>1</v>
      </c>
      <c r="B4" s="13" t="s">
        <v>54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60</v>
      </c>
      <c r="H4" s="14" t="s">
        <v>59</v>
      </c>
      <c r="I4" s="3"/>
    </row>
    <row r="5" spans="1:9" x14ac:dyDescent="0.35">
      <c r="A5" s="3">
        <v>1</v>
      </c>
      <c r="B5" s="3" t="s">
        <v>2</v>
      </c>
      <c r="C5" s="3" t="s">
        <v>3</v>
      </c>
      <c r="D5" s="4">
        <v>1</v>
      </c>
      <c r="E5" s="5">
        <v>449</v>
      </c>
      <c r="F5" s="6">
        <f t="shared" ref="F5:F26" si="0">D5*E5</f>
        <v>449</v>
      </c>
      <c r="G5" s="3" t="s">
        <v>4</v>
      </c>
      <c r="H5" s="7" t="s">
        <v>5</v>
      </c>
      <c r="I5" s="3"/>
    </row>
    <row r="6" spans="1:9" ht="28" x14ac:dyDescent="0.35">
      <c r="A6" s="3">
        <v>2</v>
      </c>
      <c r="B6" s="3" t="s">
        <v>6</v>
      </c>
      <c r="C6" s="3" t="s">
        <v>7</v>
      </c>
      <c r="D6" s="4">
        <v>3</v>
      </c>
      <c r="E6" s="5">
        <v>261</v>
      </c>
      <c r="F6" s="6">
        <f t="shared" si="0"/>
        <v>783</v>
      </c>
      <c r="G6" s="3" t="s">
        <v>4</v>
      </c>
      <c r="H6" s="7" t="s">
        <v>5</v>
      </c>
      <c r="I6" s="3"/>
    </row>
    <row r="7" spans="1:9" x14ac:dyDescent="0.35">
      <c r="A7" s="3">
        <v>3</v>
      </c>
      <c r="B7" s="3" t="s">
        <v>6</v>
      </c>
      <c r="C7" s="3" t="s">
        <v>8</v>
      </c>
      <c r="D7" s="4">
        <v>2</v>
      </c>
      <c r="E7" s="5">
        <v>35</v>
      </c>
      <c r="F7" s="6">
        <f t="shared" si="0"/>
        <v>70</v>
      </c>
      <c r="G7" s="3" t="s">
        <v>9</v>
      </c>
      <c r="H7" s="7" t="s">
        <v>5</v>
      </c>
      <c r="I7" s="3"/>
    </row>
    <row r="8" spans="1:9" x14ac:dyDescent="0.35">
      <c r="A8" s="3">
        <v>4</v>
      </c>
      <c r="B8" s="3" t="s">
        <v>10</v>
      </c>
      <c r="C8" s="3" t="s">
        <v>11</v>
      </c>
      <c r="D8" s="4">
        <v>2</v>
      </c>
      <c r="E8" s="5">
        <v>59</v>
      </c>
      <c r="F8" s="6">
        <f t="shared" si="0"/>
        <v>118</v>
      </c>
      <c r="G8" s="3" t="s">
        <v>9</v>
      </c>
      <c r="H8" s="7" t="s">
        <v>5</v>
      </c>
      <c r="I8" s="3"/>
    </row>
    <row r="9" spans="1:9" x14ac:dyDescent="0.35">
      <c r="A9" s="3">
        <v>5</v>
      </c>
      <c r="B9" s="3" t="s">
        <v>10</v>
      </c>
      <c r="C9" s="3" t="s">
        <v>12</v>
      </c>
      <c r="D9" s="4">
        <v>1</v>
      </c>
      <c r="E9" s="5">
        <v>39</v>
      </c>
      <c r="F9" s="6">
        <f t="shared" si="0"/>
        <v>39</v>
      </c>
      <c r="G9" s="3" t="s">
        <v>9</v>
      </c>
      <c r="H9" s="7" t="s">
        <v>5</v>
      </c>
      <c r="I9" s="3"/>
    </row>
    <row r="10" spans="1:9" x14ac:dyDescent="0.35">
      <c r="A10" s="3">
        <v>6</v>
      </c>
      <c r="B10" s="3" t="s">
        <v>13</v>
      </c>
      <c r="C10" s="3" t="s">
        <v>14</v>
      </c>
      <c r="D10" s="4">
        <v>2</v>
      </c>
      <c r="E10" s="5">
        <v>284</v>
      </c>
      <c r="F10" s="6">
        <f t="shared" si="0"/>
        <v>568</v>
      </c>
      <c r="G10" s="3" t="s">
        <v>15</v>
      </c>
      <c r="H10" s="7" t="s">
        <v>5</v>
      </c>
      <c r="I10" s="3"/>
    </row>
    <row r="11" spans="1:9" ht="28" x14ac:dyDescent="0.35">
      <c r="A11" s="3">
        <v>7</v>
      </c>
      <c r="B11" s="3" t="s">
        <v>16</v>
      </c>
      <c r="C11" s="3" t="s">
        <v>17</v>
      </c>
      <c r="D11" s="4">
        <v>1</v>
      </c>
      <c r="E11" s="5">
        <v>2129</v>
      </c>
      <c r="F11" s="6">
        <f t="shared" si="0"/>
        <v>2129</v>
      </c>
      <c r="G11" s="3" t="s">
        <v>18</v>
      </c>
      <c r="H11" s="7" t="s">
        <v>5</v>
      </c>
      <c r="I11" s="3"/>
    </row>
    <row r="12" spans="1:9" x14ac:dyDescent="0.35">
      <c r="A12" s="3">
        <v>8</v>
      </c>
      <c r="B12" s="3" t="s">
        <v>19</v>
      </c>
      <c r="C12" s="3" t="s">
        <v>20</v>
      </c>
      <c r="D12" s="4">
        <v>1</v>
      </c>
      <c r="E12" s="5">
        <v>1099</v>
      </c>
      <c r="F12" s="6">
        <f t="shared" si="0"/>
        <v>1099</v>
      </c>
      <c r="G12" s="3" t="s">
        <v>4</v>
      </c>
      <c r="H12" s="7" t="s">
        <v>5</v>
      </c>
      <c r="I12" s="3"/>
    </row>
    <row r="13" spans="1:9" x14ac:dyDescent="0.35">
      <c r="A13" s="3">
        <v>9</v>
      </c>
      <c r="B13" s="3" t="s">
        <v>19</v>
      </c>
      <c r="C13" s="3" t="s">
        <v>21</v>
      </c>
      <c r="D13" s="4">
        <v>1</v>
      </c>
      <c r="E13" s="5">
        <v>329</v>
      </c>
      <c r="F13" s="6">
        <f t="shared" si="0"/>
        <v>329</v>
      </c>
      <c r="G13" s="3" t="s">
        <v>22</v>
      </c>
      <c r="H13" s="7" t="s">
        <v>5</v>
      </c>
      <c r="I13" s="3"/>
    </row>
    <row r="14" spans="1:9" x14ac:dyDescent="0.35">
      <c r="A14" s="3">
        <v>10</v>
      </c>
      <c r="B14" s="3" t="s">
        <v>19</v>
      </c>
      <c r="C14" s="3" t="s">
        <v>23</v>
      </c>
      <c r="D14" s="4">
        <v>1</v>
      </c>
      <c r="E14" s="5">
        <v>300</v>
      </c>
      <c r="F14" s="6">
        <f t="shared" si="0"/>
        <v>300</v>
      </c>
      <c r="G14" s="3" t="s">
        <v>24</v>
      </c>
      <c r="H14" s="3" t="s">
        <v>25</v>
      </c>
      <c r="I14" s="3"/>
    </row>
    <row r="15" spans="1:9" x14ac:dyDescent="0.35">
      <c r="A15" s="3">
        <v>11</v>
      </c>
      <c r="B15" s="3" t="s">
        <v>19</v>
      </c>
      <c r="C15" s="3" t="s">
        <v>26</v>
      </c>
      <c r="D15" s="4">
        <v>2</v>
      </c>
      <c r="E15" s="5">
        <v>79</v>
      </c>
      <c r="F15" s="6">
        <f t="shared" si="0"/>
        <v>158</v>
      </c>
      <c r="G15" s="3" t="s">
        <v>9</v>
      </c>
      <c r="H15" s="7" t="s">
        <v>5</v>
      </c>
      <c r="I15" s="3"/>
    </row>
    <row r="16" spans="1:9" x14ac:dyDescent="0.35">
      <c r="A16" s="3">
        <v>12</v>
      </c>
      <c r="B16" s="3" t="s">
        <v>19</v>
      </c>
      <c r="C16" s="3" t="s">
        <v>27</v>
      </c>
      <c r="D16" s="4">
        <v>1</v>
      </c>
      <c r="E16" s="5">
        <v>12</v>
      </c>
      <c r="F16" s="6">
        <f t="shared" si="0"/>
        <v>12</v>
      </c>
      <c r="G16" s="3" t="s">
        <v>9</v>
      </c>
      <c r="H16" s="7" t="s">
        <v>5</v>
      </c>
      <c r="I16" s="3"/>
    </row>
    <row r="17" spans="1:9" x14ac:dyDescent="0.35">
      <c r="A17" s="3">
        <v>13</v>
      </c>
      <c r="B17" s="3" t="s">
        <v>19</v>
      </c>
      <c r="C17" s="3" t="s">
        <v>28</v>
      </c>
      <c r="D17" s="4">
        <v>1</v>
      </c>
      <c r="E17" s="5">
        <v>39</v>
      </c>
      <c r="F17" s="6">
        <f t="shared" si="0"/>
        <v>39</v>
      </c>
      <c r="G17" s="3" t="s">
        <v>9</v>
      </c>
      <c r="H17" s="7" t="s">
        <v>5</v>
      </c>
      <c r="I17" s="3"/>
    </row>
    <row r="18" spans="1:9" x14ac:dyDescent="0.35">
      <c r="A18" s="3">
        <v>14</v>
      </c>
      <c r="B18" s="3" t="s">
        <v>19</v>
      </c>
      <c r="C18" s="3" t="s">
        <v>29</v>
      </c>
      <c r="D18" s="4">
        <v>1</v>
      </c>
      <c r="E18" s="5">
        <v>15</v>
      </c>
      <c r="F18" s="6">
        <f t="shared" si="0"/>
        <v>15</v>
      </c>
      <c r="G18" s="3" t="s">
        <v>9</v>
      </c>
      <c r="H18" s="7" t="s">
        <v>5</v>
      </c>
      <c r="I18" s="3"/>
    </row>
    <row r="19" spans="1:9" x14ac:dyDescent="0.35">
      <c r="A19" s="3">
        <v>15</v>
      </c>
      <c r="B19" s="3" t="s">
        <v>19</v>
      </c>
      <c r="C19" s="3" t="s">
        <v>30</v>
      </c>
      <c r="D19" s="4">
        <v>2</v>
      </c>
      <c r="E19" s="5">
        <v>39</v>
      </c>
      <c r="F19" s="6">
        <f t="shared" si="0"/>
        <v>78</v>
      </c>
      <c r="G19" s="3" t="s">
        <v>9</v>
      </c>
      <c r="H19" s="7" t="s">
        <v>5</v>
      </c>
      <c r="I19" s="3"/>
    </row>
    <row r="20" spans="1:9" ht="28" x14ac:dyDescent="0.35">
      <c r="A20" s="3">
        <v>16</v>
      </c>
      <c r="B20" s="3" t="s">
        <v>19</v>
      </c>
      <c r="C20" s="3" t="s">
        <v>31</v>
      </c>
      <c r="D20" s="4">
        <v>1</v>
      </c>
      <c r="E20" s="5">
        <v>49</v>
      </c>
      <c r="F20" s="6">
        <f t="shared" si="0"/>
        <v>49</v>
      </c>
      <c r="G20" s="3" t="s">
        <v>32</v>
      </c>
      <c r="H20" s="7" t="s">
        <v>5</v>
      </c>
      <c r="I20" s="3"/>
    </row>
    <row r="21" spans="1:9" x14ac:dyDescent="0.35">
      <c r="A21" s="3">
        <v>17</v>
      </c>
      <c r="B21" s="3" t="s">
        <v>33</v>
      </c>
      <c r="C21" s="3" t="s">
        <v>34</v>
      </c>
      <c r="D21" s="4">
        <v>1</v>
      </c>
      <c r="E21" s="5">
        <v>30</v>
      </c>
      <c r="F21" s="6">
        <f t="shared" si="0"/>
        <v>30</v>
      </c>
      <c r="G21" s="3" t="s">
        <v>35</v>
      </c>
      <c r="H21" s="7" t="s">
        <v>5</v>
      </c>
      <c r="I21" s="3"/>
    </row>
    <row r="22" spans="1:9" x14ac:dyDescent="0.35">
      <c r="A22" s="3">
        <v>18</v>
      </c>
      <c r="B22" s="3" t="s">
        <v>33</v>
      </c>
      <c r="C22" s="3" t="s">
        <v>36</v>
      </c>
      <c r="D22" s="4">
        <v>2</v>
      </c>
      <c r="E22" s="5">
        <v>4</v>
      </c>
      <c r="F22" s="6">
        <f t="shared" si="0"/>
        <v>8</v>
      </c>
      <c r="G22" s="3" t="s">
        <v>9</v>
      </c>
      <c r="H22" s="7" t="s">
        <v>5</v>
      </c>
      <c r="I22" s="3"/>
    </row>
    <row r="23" spans="1:9" x14ac:dyDescent="0.35">
      <c r="A23" s="3">
        <v>19</v>
      </c>
      <c r="B23" s="3" t="s">
        <v>37</v>
      </c>
      <c r="C23" s="3" t="s">
        <v>38</v>
      </c>
      <c r="D23" s="4">
        <v>1</v>
      </c>
      <c r="E23" s="5">
        <v>10</v>
      </c>
      <c r="F23" s="6">
        <f t="shared" si="0"/>
        <v>10</v>
      </c>
      <c r="G23" s="3" t="s">
        <v>24</v>
      </c>
      <c r="H23" s="3" t="s">
        <v>25</v>
      </c>
      <c r="I23" s="3"/>
    </row>
    <row r="24" spans="1:9" x14ac:dyDescent="0.35">
      <c r="A24" s="3">
        <v>20</v>
      </c>
      <c r="B24" s="3" t="s">
        <v>39</v>
      </c>
      <c r="C24" s="3" t="s">
        <v>40</v>
      </c>
      <c r="D24" s="4">
        <v>1</v>
      </c>
      <c r="E24" s="5">
        <v>300</v>
      </c>
      <c r="F24" s="6">
        <f t="shared" si="0"/>
        <v>300</v>
      </c>
      <c r="G24" s="3" t="s">
        <v>24</v>
      </c>
      <c r="H24" s="3" t="s">
        <v>25</v>
      </c>
      <c r="I24" s="3"/>
    </row>
    <row r="25" spans="1:9" ht="28" x14ac:dyDescent="0.35">
      <c r="A25" s="3">
        <v>21</v>
      </c>
      <c r="B25" s="3" t="s">
        <v>37</v>
      </c>
      <c r="C25" s="3" t="s">
        <v>41</v>
      </c>
      <c r="D25" s="4">
        <v>1</v>
      </c>
      <c r="E25" s="5">
        <v>400</v>
      </c>
      <c r="F25" s="6">
        <f t="shared" si="0"/>
        <v>400</v>
      </c>
      <c r="G25" s="3" t="s">
        <v>24</v>
      </c>
      <c r="H25" s="7" t="s">
        <v>5</v>
      </c>
      <c r="I25" s="3"/>
    </row>
    <row r="26" spans="1:9" ht="28" x14ac:dyDescent="0.35">
      <c r="A26" s="3">
        <v>22</v>
      </c>
      <c r="B26" s="3" t="s">
        <v>42</v>
      </c>
      <c r="C26" s="3" t="s">
        <v>43</v>
      </c>
      <c r="D26" s="4">
        <v>1</v>
      </c>
      <c r="E26" s="5">
        <v>500</v>
      </c>
      <c r="F26" s="6">
        <f t="shared" si="0"/>
        <v>500</v>
      </c>
      <c r="G26" s="3" t="s">
        <v>44</v>
      </c>
      <c r="H26" s="3" t="s">
        <v>25</v>
      </c>
      <c r="I26" s="3"/>
    </row>
    <row r="28" spans="1:9" x14ac:dyDescent="0.35">
      <c r="E28" s="8" t="s">
        <v>45</v>
      </c>
      <c r="F28" s="9">
        <f>SUM(F5:F26)</f>
        <v>7483</v>
      </c>
    </row>
    <row r="29" spans="1:9" x14ac:dyDescent="0.35">
      <c r="E29" s="8" t="s">
        <v>46</v>
      </c>
      <c r="F29" s="10">
        <v>0.15</v>
      </c>
      <c r="G29" s="2" t="s">
        <v>47</v>
      </c>
    </row>
    <row r="30" spans="1:9" x14ac:dyDescent="0.35">
      <c r="E30" s="8" t="s">
        <v>48</v>
      </c>
      <c r="F30" s="9">
        <f>F28*F29</f>
        <v>1122.45</v>
      </c>
    </row>
    <row r="31" spans="1:9" x14ac:dyDescent="0.35">
      <c r="E31" s="8" t="s">
        <v>49</v>
      </c>
      <c r="F31" s="9">
        <f>F28+F30</f>
        <v>8605.4500000000007</v>
      </c>
    </row>
    <row r="32" spans="1:9" x14ac:dyDescent="0.35">
      <c r="E32" s="8" t="s">
        <v>50</v>
      </c>
      <c r="F32" s="11">
        <v>10000</v>
      </c>
      <c r="G32" s="2" t="s">
        <v>51</v>
      </c>
    </row>
    <row r="33" spans="5:6" x14ac:dyDescent="0.35">
      <c r="E33" s="8" t="s">
        <v>52</v>
      </c>
      <c r="F33" s="9">
        <f>F32-F31</f>
        <v>1394.5499999999993</v>
      </c>
    </row>
  </sheetData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5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  <hyperlink ref="H22" r:id="rId17" xr:uid="{00000000-0004-0000-0000-000010000000}"/>
    <hyperlink ref="H25" r:id="rId18" xr:uid="{00000000-0004-0000-0000-000011000000}"/>
  </hyperlinks>
  <pageMargins left="0.75" right="0.75" top="1" bottom="1" header="0.511811023622047" footer="0.511811023622047"/>
  <pageSetup paperSize="9" orientation="portrait" horizontalDpi="300" verticalDpi="3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Siddarth Thiagaraj</cp:lastModifiedBy>
  <cp:revision>0</cp:revision>
  <dcterms:created xsi:type="dcterms:W3CDTF">2026-10-25T16:47:49Z</dcterms:created>
  <dcterms:modified xsi:type="dcterms:W3CDTF">2026-10-25T17:04:39Z</dcterms:modified>
  <dc:language>en-US</dc:language>
</cp:coreProperties>
</file>